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commendation" sheetId="1" state="visible" r:id="rId3"/>
    <sheet name="Submitted Items"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<sst xmlns="http://schemas.openxmlformats.org/spreadsheetml/2006/main" count="177" uniqueCount="120">
  <si>
    <t xml:space="preserve">Inventory Recommendation Report (sample)</t>
  </si>
  <si>
    <t xml:space="preserve">Customer: Example Outfitters #12 (ID 1000002). All data in this workbook is fabricated for demonstration.</t>
  </si>
  <si>
    <t xml:space="preserve">Target weeks of cover</t>
  </si>
  <si>
    <t xml:space="preserve">Blue cells are inputs. Standard accounts default to 9 weeks.</t>
  </si>
  <si>
    <t xml:space="preserve">Minimum recommended qty</t>
  </si>
  <si>
    <t xml:space="preserve">Recommended quantities below recalculate when you change them.</t>
  </si>
  <si>
    <t xml:space="preserve">Available for immediate delivery</t>
  </si>
  <si>
    <t xml:space="preserve">Item No</t>
  </si>
  <si>
    <t xml:space="preserve">UPC</t>
  </si>
  <si>
    <t xml:space="preserve">Description</t>
  </si>
  <si>
    <t xml:space="preserve">Brand</t>
  </si>
  <si>
    <t xml:space="preserve">Sub-family</t>
  </si>
  <si>
    <t xml:space="preserve">Case pack</t>
  </si>
  <si>
    <t xml:space="preserve">Customer QOH</t>
  </si>
  <si>
    <t xml:space="preserve">Open qty</t>
  </si>
  <si>
    <t xml:space="preserve">Shipped 12 mo</t>
  </si>
  <si>
    <t xml:space="preserve">Weekly velocity</t>
  </si>
  <si>
    <t xml:space="preserve">Weeks of cover</t>
  </si>
  <si>
    <t xml:space="preserve">Recommended qty</t>
  </si>
  <si>
    <t xml:space="preserve">Net sell price</t>
  </si>
  <si>
    <t xml:space="preserve">Line value</t>
  </si>
  <si>
    <t xml:space="preserve">Rationale</t>
  </si>
  <si>
    <t xml:space="preserve">A-100234-17</t>
  </si>
  <si>
    <t xml:space="preserve">012345600001</t>
  </si>
  <si>
    <t xml:space="preserve">Alpha Trail Lantern 400</t>
  </si>
  <si>
    <t xml:space="preserve">Alpha</t>
  </si>
  <si>
    <t xml:space="preserve">LANTERNS</t>
  </si>
  <si>
    <t xml:space="preserve">Customer has 6 on hand and 0 on order (2.1 weeks of cover) against the target.</t>
  </si>
  <si>
    <t xml:space="preserve">111-2222-33</t>
  </si>
  <si>
    <t xml:space="preserve">012345600005</t>
  </si>
  <si>
    <t xml:space="preserve">Alpha Lantern Mantle Pack</t>
  </si>
  <si>
    <t xml:space="preserve">ACCESSORIES</t>
  </si>
  <si>
    <t xml:space="preserve">Customer has 40 on hand and 0 on order (4.3 weeks of cover) against the target.</t>
  </si>
  <si>
    <t xml:space="preserve">912345678</t>
  </si>
  <si>
    <t xml:space="preserve">012345600006</t>
  </si>
  <si>
    <t xml:space="preserve">Alpha Stove Fuel Canister 8oz</t>
  </si>
  <si>
    <t xml:space="preserve">Customer has 60 on hand and 0 on order (3.7 weeks of cover) against the target.</t>
  </si>
  <si>
    <t xml:space="preserve">BR22MB6</t>
  </si>
  <si>
    <t xml:space="preserve">012345600008</t>
  </si>
  <si>
    <t xml:space="preserve">Bravo Daypack 22L Moss</t>
  </si>
  <si>
    <t xml:space="preserve">Bravo</t>
  </si>
  <si>
    <t xml:space="preserve">PACKS</t>
  </si>
  <si>
    <t xml:space="preserve">Customer has 4 on hand and 0 on order (2.4 weeks of cover) against the target.</t>
  </si>
  <si>
    <t xml:space="preserve">CH22L1811</t>
  </si>
  <si>
    <t xml:space="preserve">012345600010</t>
  </si>
  <si>
    <t xml:space="preserve">Charlie Insulated Bottle 32oz</t>
  </si>
  <si>
    <t xml:space="preserve">Charlie</t>
  </si>
  <si>
    <t xml:space="preserve">DRINKWARE</t>
  </si>
  <si>
    <t xml:space="preserve">Customer has 12 on hand and 0 on order (2.1 weeks of cover) against the target.</t>
  </si>
  <si>
    <t xml:space="preserve">N771234567</t>
  </si>
  <si>
    <t xml:space="preserve">012345600012</t>
  </si>
  <si>
    <t xml:space="preserve">Alpha Camp Chair Classic</t>
  </si>
  <si>
    <t xml:space="preserve">CHAIRS</t>
  </si>
  <si>
    <t xml:space="preserve">Customer has 5 on hand and 0 on order (4.3 weeks of cover) against the target.</t>
  </si>
  <si>
    <t xml:space="preserve">A-3AB77002</t>
  </si>
  <si>
    <t xml:space="preserve">012345600014</t>
  </si>
  <si>
    <t xml:space="preserve">Alpha Cooler 65</t>
  </si>
  <si>
    <t xml:space="preserve">COOLERS</t>
  </si>
  <si>
    <t xml:space="preserve">Not carried by this customer; 50 units available. Opportunity item, minimum quantity.</t>
  </si>
  <si>
    <t xml:space="preserve">BR22CH4</t>
  </si>
  <si>
    <t xml:space="preserve">012345600015</t>
  </si>
  <si>
    <t xml:space="preserve">Bravo Daypack 22L Charcoal</t>
  </si>
  <si>
    <t xml:space="preserve">Not carried by this customer; 140 units available. Opportunity item, minimum quantity.</t>
  </si>
  <si>
    <t xml:space="preserve">222-0001-00</t>
  </si>
  <si>
    <t xml:space="preserve">012345600016</t>
  </si>
  <si>
    <t xml:space="preserve">Alpha Lantern Carry Case</t>
  </si>
  <si>
    <t xml:space="preserve">Not carried by this customer; 300 units available. Opportunity item, minimum quantity.</t>
  </si>
  <si>
    <t xml:space="preserve">CH22L2022</t>
  </si>
  <si>
    <t xml:space="preserve">012345600017</t>
  </si>
  <si>
    <t xml:space="preserve">Charlie Insulated Bottle 20oz</t>
  </si>
  <si>
    <t xml:space="preserve">Not carried by this customer; 400 units available. Opportunity item, minimum quantity.</t>
  </si>
  <si>
    <t xml:space="preserve">Subtotal</t>
  </si>
  <si>
    <t xml:space="preserve">Future availability (out of stock today)</t>
  </si>
  <si>
    <t xml:space="preserve">A-2200XY-0</t>
  </si>
  <si>
    <t xml:space="preserve">012345600003</t>
  </si>
  <si>
    <t xml:space="preserve">Alpha Camp Stove 2B</t>
  </si>
  <si>
    <t xml:space="preserve">STOVES</t>
  </si>
  <si>
    <t xml:space="preserve">Customer has 3 on hand (2.1 weeks of cover) and we are out of stock now. Order will ship when stock is available.</t>
  </si>
  <si>
    <t xml:space="preserve">CH22W2111</t>
  </si>
  <si>
    <t xml:space="preserve">012345600011</t>
  </si>
  <si>
    <t xml:space="preserve">Charlie Insulated Bottle 40oz</t>
  </si>
  <si>
    <t xml:space="preserve">Customer has 0 on hand (0.0 weeks of cover) and we are out of stock now. Order will ship when stock is available.</t>
  </si>
  <si>
    <t xml:space="preserve">Rep briefing</t>
  </si>
  <si>
    <t xml:space="preserve">This account is running thin on its fast sellers. The lantern, fuel canister, mantle pack, and insulated bottle lines show the lowest cover relative to what the customer sells through, so those lead the immediate-delivery list. The camp stove and 40oz bottle are out of stock on our side today, so they are listed as future availability. Two daypack items and the lantern kit are already well covered and were left off. Four items the customer does not carry are included as opportunity adds.</t>
  </si>
  <si>
    <t xml:space="preserve">As submitted</t>
  </si>
  <si>
    <t xml:space="preserve">Resolved item</t>
  </si>
  <si>
    <t xml:space="preserve">Parse note</t>
  </si>
  <si>
    <t xml:space="preserve">Available to sell</t>
  </si>
  <si>
    <t xml:space="preserve">Outcome</t>
  </si>
  <si>
    <t xml:space="preserve">Recommended</t>
  </si>
  <si>
    <t xml:space="preserve">A-100235-17</t>
  </si>
  <si>
    <t xml:space="preserve">Excluded: 18.8 weeks of cover already</t>
  </si>
  <si>
    <t xml:space="preserve">A-3AB65201</t>
  </si>
  <si>
    <t xml:space="preserve">Excluded: 156.0 weeks of cover already</t>
  </si>
  <si>
    <t xml:space="preserve">000912345678</t>
  </si>
  <si>
    <t xml:space="preserve">Leading zeros stripped</t>
  </si>
  <si>
    <t xml:space="preserve">BR22B4</t>
  </si>
  <si>
    <t xml:space="preserve">Excluded: 12.4 weeks of cover already</t>
  </si>
  <si>
    <t xml:space="preserve">br22mb6</t>
  </si>
  <si>
    <t xml:space="preserve">Uppercased to match item master</t>
  </si>
  <si>
    <t xml:space="preserve">BX1218CH</t>
  </si>
  <si>
    <t xml:space="preserve">Excluded: available stock below 10 units</t>
  </si>
  <si>
    <t xml:space="preserve">WB-40-STL</t>
  </si>
  <si>
    <t xml:space="preserve">Customer SKU resolved through UPC</t>
  </si>
  <si>
    <t xml:space="preserve">771234567</t>
  </si>
  <si>
    <t xml:space="preserve">Legacy number remapped to current item</t>
  </si>
  <si>
    <t xml:space="preserve">A-100199-17</t>
  </si>
  <si>
    <t xml:space="preserve">Excluded: discontinued</t>
  </si>
  <si>
    <t xml:space="preserve">About this workbook</t>
  </si>
  <si>
    <t xml:space="preserve">Everything here is fabricated. Items, prices, quantities, and the customer are invented to demonstrate the report layout.</t>
  </si>
  <si>
    <t xml:space="preserve">How quantities are calculated (same rules as the recommender prompt)</t>
  </si>
  <si>
    <t xml:space="preserve">Weekly velocity = max(0, shipped in last 12 months - customer on hand) / 52</t>
  </si>
  <si>
    <t xml:space="preserve">Weeks of cover = (customer on hand + open order qty) / weekly velocity. Items at or above the target are excluded.</t>
  </si>
  <si>
    <t xml:space="preserve">Recommended qty = target weeks x weekly velocity - customer on hand - open order qty, rounded up, minimum 1.</t>
  </si>
  <si>
    <t xml:space="preserve">Opportunity items the customer does not carry bypass the velocity check and get the minimum quantity.</t>
  </si>
  <si>
    <t xml:space="preserve">Items with 1 to 9 units available, and discontinued items, are never recommended.</t>
  </si>
  <si>
    <t xml:space="preserve">Assumptions</t>
  </si>
  <si>
    <t xml:space="preserve">Target weeks of cover (9) and minimum quantity (1) are inputs in cells B4 and B5 of the Recommendation tab (blue, yellow fill).</t>
  </si>
  <si>
    <t xml:space="preserve">Blue text marks hardcoded inputs; black text marks formulas. Rationale text is static and was written for the default inputs.</t>
  </si>
  <si>
    <t xml:space="preserve">In the real system the model writes the rationale and narrative; the formulas here exist so a reader can check the arithmetic.</t>
  </si>
</sst>
</file>

<file path=xl/styles.xml><?xml version="1.0" encoding="utf-8"?>
<styleSheet xmlns="http://schemas.openxmlformats.org/spreadsheetml/2006/main">
  <numFmts count="4">
    <numFmt numFmtId="164" formatCode="General"/>
    <numFmt numFmtId="165" formatCode="0.00"/>
    <numFmt numFmtId="166" formatCode="0.0"/>
    <numFmt numFmtId="167"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55555"/>
      <name val="Arial"/>
      <family val="0"/>
      <charset val="1"/>
    </font>
    <font>
      <b val="true"/>
      <sz val="10"/>
      <name val="Arial"/>
      <family val="0"/>
      <charset val="1"/>
    </font>
    <font>
      <b val="true"/>
      <sz val="10"/>
      <color rgb="FF0000FF"/>
      <name val="Arial"/>
      <family val="0"/>
      <charset val="1"/>
    </font>
    <font>
      <b val="true"/>
      <sz val="11"/>
      <color rgb="FF1F3A5F"/>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color rgb="FF1B7F3B"/>
      <name val="Arial"/>
      <family val="0"/>
      <charset val="1"/>
    </font>
    <font>
      <sz val="10"/>
      <color rgb="FF9A3412"/>
      <name val="Arial"/>
      <family val="0"/>
      <charset val="1"/>
    </font>
    <font>
      <b val="true"/>
      <sz val="11"/>
      <name val="Arial"/>
      <family val="0"/>
      <charset val="1"/>
    </font>
  </fonts>
  <fills count="5">
    <fill>
      <patternFill patternType="none"/>
    </fill>
    <fill>
      <patternFill patternType="gray125"/>
    </fill>
    <fill>
      <patternFill patternType="solid">
        <fgColor rgb="FFFFFF99"/>
        <bgColor rgb="FFCCFFCC"/>
      </patternFill>
    </fill>
    <fill>
      <patternFill patternType="solid">
        <fgColor rgb="FFEEF1F5"/>
        <bgColor rgb="FFFFFFFF"/>
      </patternFill>
    </fill>
    <fill>
      <patternFill patternType="solid">
        <fgColor rgb="FF1F3A5F"/>
        <bgColor rgb="FF333333"/>
      </patternFill>
    </fill>
  </fills>
  <borders count="2">
    <border diagonalUp="false" diagonalDown="false">
      <left/>
      <right/>
      <top/>
      <bottom/>
      <diagonal/>
    </border>
    <border diagonalUp="false" diagonalDown="false">
      <left style="thin">
        <color rgb="FFC9CFD8"/>
      </left>
      <right style="thin">
        <color rgb="FFC9CFD8"/>
      </right>
      <top style="thin">
        <color rgb="FFC9CFD8"/>
      </top>
      <bottom style="thin">
        <color rgb="FFC9CF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7" fontId="11" fillId="0"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7F3B"/>
      <rgbColor rgb="FF000080"/>
      <rgbColor rgb="FF808000"/>
      <rgbColor rgb="FF800080"/>
      <rgbColor rgb="FF008080"/>
      <rgbColor rgb="FFC0C0C0"/>
      <rgbColor rgb="FF808080"/>
      <rgbColor rgb="FF9999FF"/>
      <rgbColor rgb="FF993366"/>
      <rgbColor rgb="FFEEF1F5"/>
      <rgbColor rgb="FFCCFFFF"/>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A34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5"/>
    <col collapsed="false" customWidth="true" hidden="false" outlineLevel="0" max="3" min="3" style="0" width="30"/>
    <col collapsed="false" customWidth="true" hidden="false" outlineLevel="0" max="4" min="4" style="0" width="9"/>
    <col collapsed="false" customWidth="true" hidden="false" outlineLevel="0" max="5" min="5" style="0" width="13"/>
    <col collapsed="false" customWidth="true" hidden="false" outlineLevel="0" max="6" min="6" style="0" width="8"/>
    <col collapsed="false" customWidth="true" hidden="false" outlineLevel="0" max="7" min="7" style="0" width="10"/>
    <col collapsed="false" customWidth="true" hidden="false" outlineLevel="0" max="8" min="8" style="0" width="9"/>
    <col collapsed="false" customWidth="true" hidden="false" outlineLevel="0" max="11" min="9" style="0" width="10"/>
    <col collapsed="false" customWidth="true" hidden="false" outlineLevel="0" max="12" min="12" style="0" width="12"/>
    <col collapsed="false" customWidth="true" hidden="false" outlineLevel="0" max="13" min="13" style="0" width="11"/>
    <col collapsed="false" customWidth="true" hidden="false" outlineLevel="0" max="14" min="14" style="0" width="12"/>
    <col collapsed="false" customWidth="true" hidden="false" outlineLevel="0" max="15" min="15" style="0" width="6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v>9</v>
      </c>
      <c r="C4" s="2" t="s">
        <v>3</v>
      </c>
    </row>
    <row r="5" customFormat="false" ht="15" hidden="false" customHeight="false" outlineLevel="0" collapsed="false">
      <c r="A5" s="3" t="s">
        <v>4</v>
      </c>
      <c r="B5" s="4" t="n">
        <v>1</v>
      </c>
      <c r="C5" s="2" t="s">
        <v>5</v>
      </c>
    </row>
    <row r="7" customFormat="false" ht="15" hidden="false" customHeight="false" outlineLevel="0" collapsed="false">
      <c r="A7" s="5" t="s">
        <v>6</v>
      </c>
      <c r="B7" s="6"/>
      <c r="C7" s="6"/>
      <c r="D7" s="6"/>
      <c r="E7" s="6"/>
      <c r="F7" s="6"/>
      <c r="G7" s="6"/>
      <c r="H7" s="6"/>
      <c r="I7" s="6"/>
      <c r="J7" s="6"/>
      <c r="K7" s="6"/>
      <c r="L7" s="6"/>
      <c r="M7" s="6"/>
      <c r="N7" s="6"/>
      <c r="O7" s="6"/>
    </row>
    <row r="8" customFormat="false" ht="30" hidden="false" customHeight="true" outlineLevel="0" collapsed="false">
      <c r="A8" s="7" t="s">
        <v>7</v>
      </c>
      <c r="B8" s="7" t="s">
        <v>8</v>
      </c>
      <c r="C8" s="7" t="s">
        <v>9</v>
      </c>
      <c r="D8" s="7" t="s">
        <v>10</v>
      </c>
      <c r="E8" s="7" t="s">
        <v>11</v>
      </c>
      <c r="F8" s="7" t="s">
        <v>12</v>
      </c>
      <c r="G8" s="7" t="s">
        <v>13</v>
      </c>
      <c r="H8" s="7" t="s">
        <v>14</v>
      </c>
      <c r="I8" s="7" t="s">
        <v>15</v>
      </c>
      <c r="J8" s="7" t="s">
        <v>16</v>
      </c>
      <c r="K8" s="7" t="s">
        <v>17</v>
      </c>
      <c r="L8" s="7" t="s">
        <v>18</v>
      </c>
      <c r="M8" s="7" t="s">
        <v>19</v>
      </c>
      <c r="N8" s="7" t="s">
        <v>20</v>
      </c>
      <c r="O8" s="7" t="s">
        <v>21</v>
      </c>
    </row>
    <row r="9" customFormat="false" ht="23.85" hidden="false" customHeight="false" outlineLevel="0" collapsed="false">
      <c r="A9" s="8" t="s">
        <v>22</v>
      </c>
      <c r="B9" s="8" t="s">
        <v>23</v>
      </c>
      <c r="C9" s="9" t="s">
        <v>24</v>
      </c>
      <c r="D9" s="8" t="s">
        <v>25</v>
      </c>
      <c r="E9" s="8" t="s">
        <v>26</v>
      </c>
      <c r="F9" s="8" t="n">
        <v>10</v>
      </c>
      <c r="G9" s="10" t="n">
        <v>6</v>
      </c>
      <c r="H9" s="10" t="n">
        <v>0</v>
      </c>
      <c r="I9" s="10" t="n">
        <v>156</v>
      </c>
      <c r="J9" s="11" t="n">
        <f aca="false">MAX(0,I9-G9)/52</f>
        <v>2.88461538461538</v>
      </c>
      <c r="K9" s="12" t="n">
        <f aca="false">IF(J9=0,999,(G9+H9)/J9)</f>
        <v>2.08</v>
      </c>
      <c r="L9" s="8" t="n">
        <f aca="false">MAX($B$5,ROUNDUP($B$4*J9-G9-H9,0))</f>
        <v>20</v>
      </c>
      <c r="M9" s="13" t="n">
        <v>41.5</v>
      </c>
      <c r="N9" s="14" t="n">
        <f aca="false">L9*M9</f>
        <v>830</v>
      </c>
      <c r="O9" s="9" t="s">
        <v>27</v>
      </c>
    </row>
    <row r="10" customFormat="false" ht="23.85" hidden="false" customHeight="false" outlineLevel="0" collapsed="false">
      <c r="A10" s="8" t="s">
        <v>28</v>
      </c>
      <c r="B10" s="8" t="s">
        <v>29</v>
      </c>
      <c r="C10" s="9" t="s">
        <v>30</v>
      </c>
      <c r="D10" s="8" t="s">
        <v>25</v>
      </c>
      <c r="E10" s="8" t="s">
        <v>31</v>
      </c>
      <c r="F10" s="8" t="n">
        <v>10</v>
      </c>
      <c r="G10" s="10" t="n">
        <v>40</v>
      </c>
      <c r="H10" s="10" t="n">
        <v>0</v>
      </c>
      <c r="I10" s="10" t="n">
        <v>520</v>
      </c>
      <c r="J10" s="11" t="n">
        <f aca="false">MAX(0,I10-G10)/52</f>
        <v>9.23076923076923</v>
      </c>
      <c r="K10" s="12" t="n">
        <f aca="false">IF(J10=0,999,(G10+H10)/J10)</f>
        <v>4.33333333333333</v>
      </c>
      <c r="L10" s="8" t="n">
        <f aca="false">MAX($B$5,ROUNDUP($B$4*J10-G10-H10,0))</f>
        <v>44</v>
      </c>
      <c r="M10" s="13" t="n">
        <v>6.25</v>
      </c>
      <c r="N10" s="14" t="n">
        <f aca="false">L10*M10</f>
        <v>275</v>
      </c>
      <c r="O10" s="9" t="s">
        <v>32</v>
      </c>
    </row>
    <row r="11" customFormat="false" ht="23.85" hidden="false" customHeight="false" outlineLevel="0" collapsed="false">
      <c r="A11" s="8" t="s">
        <v>33</v>
      </c>
      <c r="B11" s="8" t="s">
        <v>34</v>
      </c>
      <c r="C11" s="9" t="s">
        <v>35</v>
      </c>
      <c r="D11" s="8" t="s">
        <v>25</v>
      </c>
      <c r="E11" s="8" t="s">
        <v>31</v>
      </c>
      <c r="F11" s="8" t="n">
        <v>10</v>
      </c>
      <c r="G11" s="10" t="n">
        <v>60</v>
      </c>
      <c r="H11" s="10" t="n">
        <v>0</v>
      </c>
      <c r="I11" s="10" t="n">
        <v>910</v>
      </c>
      <c r="J11" s="11" t="n">
        <f aca="false">MAX(0,I11-G11)/52</f>
        <v>16.3461538461538</v>
      </c>
      <c r="K11" s="12" t="n">
        <f aca="false">IF(J11=0,999,(G11+H11)/J11)</f>
        <v>3.67058823529412</v>
      </c>
      <c r="L11" s="8" t="n">
        <f aca="false">MAX($B$5,ROUNDUP($B$4*J11-G11-H11,0))</f>
        <v>88</v>
      </c>
      <c r="M11" s="13" t="n">
        <v>5.1</v>
      </c>
      <c r="N11" s="14" t="n">
        <f aca="false">L11*M11</f>
        <v>448.8</v>
      </c>
      <c r="O11" s="9" t="s">
        <v>36</v>
      </c>
    </row>
    <row r="12" customFormat="false" ht="23.85" hidden="false" customHeight="false" outlineLevel="0" collapsed="false">
      <c r="A12" s="8" t="s">
        <v>37</v>
      </c>
      <c r="B12" s="8" t="s">
        <v>38</v>
      </c>
      <c r="C12" s="9" t="s">
        <v>39</v>
      </c>
      <c r="D12" s="8" t="s">
        <v>40</v>
      </c>
      <c r="E12" s="8" t="s">
        <v>41</v>
      </c>
      <c r="F12" s="8" t="n">
        <v>10</v>
      </c>
      <c r="G12" s="10" t="n">
        <v>4</v>
      </c>
      <c r="H12" s="10" t="n">
        <v>0</v>
      </c>
      <c r="I12" s="10" t="n">
        <v>91</v>
      </c>
      <c r="J12" s="11" t="n">
        <f aca="false">MAX(0,I12-G12)/52</f>
        <v>1.67307692307692</v>
      </c>
      <c r="K12" s="12" t="n">
        <f aca="false">IF(J12=0,999,(G12+H12)/J12)</f>
        <v>2.39080459770115</v>
      </c>
      <c r="L12" s="8" t="n">
        <f aca="false">MAX($B$5,ROUNDUP($B$4*J12-G12-H12,0))</f>
        <v>12</v>
      </c>
      <c r="M12" s="13" t="n">
        <v>64</v>
      </c>
      <c r="N12" s="14" t="n">
        <f aca="false">L12*M12</f>
        <v>768</v>
      </c>
      <c r="O12" s="9" t="s">
        <v>42</v>
      </c>
    </row>
    <row r="13" customFormat="false" ht="23.85" hidden="false" customHeight="false" outlineLevel="0" collapsed="false">
      <c r="A13" s="8" t="s">
        <v>43</v>
      </c>
      <c r="B13" s="8" t="s">
        <v>44</v>
      </c>
      <c r="C13" s="9" t="s">
        <v>45</v>
      </c>
      <c r="D13" s="8" t="s">
        <v>46</v>
      </c>
      <c r="E13" s="8" t="s">
        <v>47</v>
      </c>
      <c r="F13" s="8" t="n">
        <v>10</v>
      </c>
      <c r="G13" s="10" t="n">
        <v>12</v>
      </c>
      <c r="H13" s="10" t="n">
        <v>0</v>
      </c>
      <c r="I13" s="10" t="n">
        <v>312</v>
      </c>
      <c r="J13" s="11" t="n">
        <f aca="false">MAX(0,I13-G13)/52</f>
        <v>5.76923076923077</v>
      </c>
      <c r="K13" s="12" t="n">
        <f aca="false">IF(J13=0,999,(G13+H13)/J13)</f>
        <v>2.08</v>
      </c>
      <c r="L13" s="8" t="n">
        <f aca="false">MAX($B$5,ROUNDUP($B$4*J13-G13-H13,0))</f>
        <v>40</v>
      </c>
      <c r="M13" s="13" t="n">
        <v>22</v>
      </c>
      <c r="N13" s="14" t="n">
        <f aca="false">L13*M13</f>
        <v>880</v>
      </c>
      <c r="O13" s="9" t="s">
        <v>48</v>
      </c>
    </row>
    <row r="14" customFormat="false" ht="23.85" hidden="false" customHeight="false" outlineLevel="0" collapsed="false">
      <c r="A14" s="8" t="s">
        <v>49</v>
      </c>
      <c r="B14" s="8" t="s">
        <v>50</v>
      </c>
      <c r="C14" s="9" t="s">
        <v>51</v>
      </c>
      <c r="D14" s="8" t="s">
        <v>25</v>
      </c>
      <c r="E14" s="8" t="s">
        <v>52</v>
      </c>
      <c r="F14" s="8" t="n">
        <v>5</v>
      </c>
      <c r="G14" s="10" t="n">
        <v>5</v>
      </c>
      <c r="H14" s="10" t="n">
        <v>0</v>
      </c>
      <c r="I14" s="10" t="n">
        <v>65</v>
      </c>
      <c r="J14" s="11" t="n">
        <f aca="false">MAX(0,I14-G14)/52</f>
        <v>1.15384615384615</v>
      </c>
      <c r="K14" s="12" t="n">
        <f aca="false">IF(J14=0,999,(G14+H14)/J14)</f>
        <v>4.33333333333333</v>
      </c>
      <c r="L14" s="8" t="n">
        <f aca="false">MAX($B$5,ROUNDUP($B$4*J14-G14-H14,0))</f>
        <v>6</v>
      </c>
      <c r="M14" s="13" t="n">
        <v>48</v>
      </c>
      <c r="N14" s="14" t="n">
        <f aca="false">L14*M14</f>
        <v>288</v>
      </c>
      <c r="O14" s="9" t="s">
        <v>53</v>
      </c>
    </row>
    <row r="15" customFormat="false" ht="23.85" hidden="false" customHeight="false" outlineLevel="0" collapsed="false">
      <c r="A15" s="8" t="s">
        <v>54</v>
      </c>
      <c r="B15" s="8" t="s">
        <v>55</v>
      </c>
      <c r="C15" s="9" t="s">
        <v>56</v>
      </c>
      <c r="D15" s="8" t="s">
        <v>25</v>
      </c>
      <c r="E15" s="8" t="s">
        <v>57</v>
      </c>
      <c r="F15" s="8" t="n">
        <v>5</v>
      </c>
      <c r="G15" s="10" t="n">
        <v>0</v>
      </c>
      <c r="H15" s="10" t="n">
        <v>0</v>
      </c>
      <c r="I15" s="10" t="n">
        <v>0</v>
      </c>
      <c r="J15" s="11" t="n">
        <f aca="false">MAX(0,I15-G15)/52</f>
        <v>0</v>
      </c>
      <c r="K15" s="12" t="n">
        <f aca="false">IF(J15=0,999,(G15+H15)/J15)</f>
        <v>999</v>
      </c>
      <c r="L15" s="8" t="n">
        <f aca="false">$B$5</f>
        <v>1</v>
      </c>
      <c r="M15" s="13" t="n">
        <v>169</v>
      </c>
      <c r="N15" s="14" t="n">
        <f aca="false">L15*M15</f>
        <v>169</v>
      </c>
      <c r="O15" s="9" t="s">
        <v>58</v>
      </c>
    </row>
    <row r="16" customFormat="false" ht="23.85" hidden="false" customHeight="false" outlineLevel="0" collapsed="false">
      <c r="A16" s="8" t="s">
        <v>59</v>
      </c>
      <c r="B16" s="8" t="s">
        <v>60</v>
      </c>
      <c r="C16" s="9" t="s">
        <v>61</v>
      </c>
      <c r="D16" s="8" t="s">
        <v>40</v>
      </c>
      <c r="E16" s="8" t="s">
        <v>41</v>
      </c>
      <c r="F16" s="8" t="n">
        <v>10</v>
      </c>
      <c r="G16" s="10" t="n">
        <v>0</v>
      </c>
      <c r="H16" s="10" t="n">
        <v>0</v>
      </c>
      <c r="I16" s="10" t="n">
        <v>0</v>
      </c>
      <c r="J16" s="11" t="n">
        <f aca="false">MAX(0,I16-G16)/52</f>
        <v>0</v>
      </c>
      <c r="K16" s="12" t="n">
        <f aca="false">IF(J16=0,999,(G16+H16)/J16)</f>
        <v>999</v>
      </c>
      <c r="L16" s="8" t="n">
        <f aca="false">$B$5</f>
        <v>1</v>
      </c>
      <c r="M16" s="13" t="n">
        <v>64</v>
      </c>
      <c r="N16" s="14" t="n">
        <f aca="false">L16*M16</f>
        <v>64</v>
      </c>
      <c r="O16" s="9" t="s">
        <v>62</v>
      </c>
    </row>
    <row r="17" customFormat="false" ht="23.85" hidden="false" customHeight="false" outlineLevel="0" collapsed="false">
      <c r="A17" s="8" t="s">
        <v>63</v>
      </c>
      <c r="B17" s="8" t="s">
        <v>64</v>
      </c>
      <c r="C17" s="9" t="s">
        <v>65</v>
      </c>
      <c r="D17" s="8" t="s">
        <v>25</v>
      </c>
      <c r="E17" s="8" t="s">
        <v>31</v>
      </c>
      <c r="F17" s="8" t="n">
        <v>10</v>
      </c>
      <c r="G17" s="10" t="n">
        <v>0</v>
      </c>
      <c r="H17" s="10" t="n">
        <v>0</v>
      </c>
      <c r="I17" s="10" t="n">
        <v>0</v>
      </c>
      <c r="J17" s="11" t="n">
        <f aca="false">MAX(0,I17-G17)/52</f>
        <v>0</v>
      </c>
      <c r="K17" s="12" t="n">
        <f aca="false">IF(J17=0,999,(G17+H17)/J17)</f>
        <v>999</v>
      </c>
      <c r="L17" s="8" t="n">
        <f aca="false">$B$5</f>
        <v>1</v>
      </c>
      <c r="M17" s="13" t="n">
        <v>12.5</v>
      </c>
      <c r="N17" s="14" t="n">
        <f aca="false">L17*M17</f>
        <v>12.5</v>
      </c>
      <c r="O17" s="9" t="s">
        <v>66</v>
      </c>
    </row>
    <row r="18" customFormat="false" ht="23.85" hidden="false" customHeight="false" outlineLevel="0" collapsed="false">
      <c r="A18" s="8" t="s">
        <v>67</v>
      </c>
      <c r="B18" s="8" t="s">
        <v>68</v>
      </c>
      <c r="C18" s="9" t="s">
        <v>69</v>
      </c>
      <c r="D18" s="8" t="s">
        <v>46</v>
      </c>
      <c r="E18" s="8" t="s">
        <v>47</v>
      </c>
      <c r="F18" s="8" t="n">
        <v>10</v>
      </c>
      <c r="G18" s="10" t="n">
        <v>0</v>
      </c>
      <c r="H18" s="10" t="n">
        <v>0</v>
      </c>
      <c r="I18" s="10" t="n">
        <v>0</v>
      </c>
      <c r="J18" s="11" t="n">
        <f aca="false">MAX(0,I18-G18)/52</f>
        <v>0</v>
      </c>
      <c r="K18" s="12" t="n">
        <f aca="false">IF(J18=0,999,(G18+H18)/J18)</f>
        <v>999</v>
      </c>
      <c r="L18" s="8" t="n">
        <f aca="false">$B$5</f>
        <v>1</v>
      </c>
      <c r="M18" s="13" t="n">
        <v>18</v>
      </c>
      <c r="N18" s="14" t="n">
        <f aca="false">L18*M18</f>
        <v>18</v>
      </c>
      <c r="O18" s="9" t="s">
        <v>70</v>
      </c>
    </row>
    <row r="19" customFormat="false" ht="15" hidden="false" customHeight="false" outlineLevel="0" collapsed="false">
      <c r="K19" s="3" t="s">
        <v>71</v>
      </c>
      <c r="L19" s="3" t="n">
        <f aca="false">SUM(L9:L18)</f>
        <v>214</v>
      </c>
      <c r="N19" s="15" t="n">
        <f aca="false">SUM(N9:N18)</f>
        <v>3753.3</v>
      </c>
    </row>
    <row r="21" customFormat="false" ht="15" hidden="false" customHeight="false" outlineLevel="0" collapsed="false">
      <c r="A21" s="5" t="s">
        <v>72</v>
      </c>
      <c r="B21" s="6"/>
      <c r="C21" s="6"/>
      <c r="D21" s="6"/>
      <c r="E21" s="6"/>
      <c r="F21" s="6"/>
      <c r="G21" s="6"/>
      <c r="H21" s="6"/>
      <c r="I21" s="6"/>
      <c r="J21" s="6"/>
      <c r="K21" s="6"/>
      <c r="L21" s="6"/>
      <c r="M21" s="6"/>
      <c r="N21" s="6"/>
      <c r="O21" s="6"/>
    </row>
    <row r="22" customFormat="false" ht="30" hidden="false" customHeight="true" outlineLevel="0" collapsed="false">
      <c r="A22" s="7" t="s">
        <v>7</v>
      </c>
      <c r="B22" s="7" t="s">
        <v>8</v>
      </c>
      <c r="C22" s="7" t="s">
        <v>9</v>
      </c>
      <c r="D22" s="7" t="s">
        <v>10</v>
      </c>
      <c r="E22" s="7" t="s">
        <v>11</v>
      </c>
      <c r="F22" s="7" t="s">
        <v>12</v>
      </c>
      <c r="G22" s="7" t="s">
        <v>13</v>
      </c>
      <c r="H22" s="7" t="s">
        <v>14</v>
      </c>
      <c r="I22" s="7" t="s">
        <v>15</v>
      </c>
      <c r="J22" s="7" t="s">
        <v>16</v>
      </c>
      <c r="K22" s="7" t="s">
        <v>17</v>
      </c>
      <c r="L22" s="7" t="s">
        <v>18</v>
      </c>
      <c r="M22" s="7" t="s">
        <v>19</v>
      </c>
      <c r="N22" s="7" t="s">
        <v>20</v>
      </c>
      <c r="O22" s="7" t="s">
        <v>21</v>
      </c>
    </row>
    <row r="23" customFormat="false" ht="23.85" hidden="false" customHeight="false" outlineLevel="0" collapsed="false">
      <c r="A23" s="8" t="s">
        <v>73</v>
      </c>
      <c r="B23" s="8" t="s">
        <v>74</v>
      </c>
      <c r="C23" s="9" t="s">
        <v>75</v>
      </c>
      <c r="D23" s="8" t="s">
        <v>25</v>
      </c>
      <c r="E23" s="8" t="s">
        <v>76</v>
      </c>
      <c r="F23" s="8" t="n">
        <v>10</v>
      </c>
      <c r="G23" s="10" t="n">
        <v>3</v>
      </c>
      <c r="H23" s="10" t="n">
        <v>0</v>
      </c>
      <c r="I23" s="10" t="n">
        <v>78</v>
      </c>
      <c r="J23" s="11" t="n">
        <f aca="false">MAX(0,I23-G23)/52</f>
        <v>1.44230769230769</v>
      </c>
      <c r="K23" s="12" t="n">
        <f aca="false">IF(J23=0,999,(G23+H23)/J23)</f>
        <v>2.08</v>
      </c>
      <c r="L23" s="8" t="n">
        <f aca="false">MAX($B$5,ROUNDUP($B$4*J23-G23-H23,0))</f>
        <v>10</v>
      </c>
      <c r="M23" s="13" t="n">
        <v>89</v>
      </c>
      <c r="N23" s="14" t="n">
        <f aca="false">L23*M23</f>
        <v>890</v>
      </c>
      <c r="O23" s="9" t="s">
        <v>77</v>
      </c>
    </row>
    <row r="24" customFormat="false" ht="23.85" hidden="false" customHeight="false" outlineLevel="0" collapsed="false">
      <c r="A24" s="8" t="s">
        <v>78</v>
      </c>
      <c r="B24" s="8" t="s">
        <v>79</v>
      </c>
      <c r="C24" s="9" t="s">
        <v>80</v>
      </c>
      <c r="D24" s="8" t="s">
        <v>46</v>
      </c>
      <c r="E24" s="8" t="s">
        <v>47</v>
      </c>
      <c r="F24" s="8" t="n">
        <v>10</v>
      </c>
      <c r="G24" s="10" t="n">
        <v>0</v>
      </c>
      <c r="H24" s="10" t="n">
        <v>0</v>
      </c>
      <c r="I24" s="10" t="n">
        <v>52</v>
      </c>
      <c r="J24" s="11" t="n">
        <f aca="false">MAX(0,I24-G24)/52</f>
        <v>1</v>
      </c>
      <c r="K24" s="12" t="n">
        <f aca="false">IF(J24=0,999,(G24+H24)/J24)</f>
        <v>0</v>
      </c>
      <c r="L24" s="8" t="n">
        <f aca="false">MAX($B$5,ROUNDUP($B$4*J24-G24-H24,0))</f>
        <v>9</v>
      </c>
      <c r="M24" s="13" t="n">
        <v>26</v>
      </c>
      <c r="N24" s="14" t="n">
        <f aca="false">L24*M24</f>
        <v>234</v>
      </c>
      <c r="O24" s="9" t="s">
        <v>81</v>
      </c>
    </row>
    <row r="25" customFormat="false" ht="15" hidden="false" customHeight="false" outlineLevel="0" collapsed="false">
      <c r="K25" s="3" t="s">
        <v>71</v>
      </c>
      <c r="L25" s="3" t="n">
        <f aca="false">SUM(L23:L24)</f>
        <v>19</v>
      </c>
      <c r="N25" s="15" t="n">
        <f aca="false">SUM(N23:N24)</f>
        <v>1124</v>
      </c>
    </row>
    <row r="27" customFormat="false" ht="15" hidden="false" customHeight="false" outlineLevel="0" collapsed="false">
      <c r="A27" s="16" t="s">
        <v>82</v>
      </c>
    </row>
    <row r="28" customFormat="false" ht="61.5" hidden="false" customHeight="true" outlineLevel="0" collapsed="false">
      <c r="A28" s="17" t="s">
        <v>83</v>
      </c>
      <c r="B28" s="17"/>
      <c r="C28" s="17"/>
      <c r="D28" s="17"/>
      <c r="E28" s="17"/>
      <c r="F28" s="17"/>
      <c r="G28" s="17"/>
      <c r="H28" s="17"/>
      <c r="I28" s="17"/>
      <c r="J28" s="17"/>
      <c r="K28" s="17"/>
      <c r="L28" s="17"/>
      <c r="M28" s="17"/>
      <c r="N28" s="17"/>
      <c r="O28" s="17"/>
    </row>
  </sheetData>
  <mergeCells count="1">
    <mergeCell ref="A28:O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36"/>
    <col collapsed="false" customWidth="true" hidden="false" outlineLevel="0" max="4" min="4" style="0" width="12"/>
    <col collapsed="false" customWidth="true" hidden="false" outlineLevel="0" max="5" min="5" style="0" width="14"/>
    <col collapsed="false" customWidth="true" hidden="false" outlineLevel="0" max="6" min="6" style="0" width="9"/>
    <col collapsed="false" customWidth="true" hidden="false" outlineLevel="0" max="7" min="7" style="0" width="12"/>
    <col collapsed="false" customWidth="true" hidden="false" outlineLevel="0" max="8" min="8" style="0" width="42"/>
  </cols>
  <sheetData>
    <row r="1" customFormat="false" ht="23.85" hidden="false" customHeight="false" outlineLevel="0" collapsed="false">
      <c r="A1" s="7" t="s">
        <v>84</v>
      </c>
      <c r="B1" s="7" t="s">
        <v>85</v>
      </c>
      <c r="C1" s="7" t="s">
        <v>86</v>
      </c>
      <c r="D1" s="7" t="s">
        <v>13</v>
      </c>
      <c r="E1" s="7" t="s">
        <v>87</v>
      </c>
      <c r="F1" s="7" t="s">
        <v>14</v>
      </c>
      <c r="G1" s="7" t="s">
        <v>15</v>
      </c>
      <c r="H1" s="7" t="s">
        <v>88</v>
      </c>
    </row>
    <row r="2" customFormat="false" ht="15" hidden="false" customHeight="false" outlineLevel="0" collapsed="false">
      <c r="A2" s="18" t="s">
        <v>22</v>
      </c>
      <c r="B2" s="18" t="s">
        <v>22</v>
      </c>
      <c r="C2" s="18"/>
      <c r="D2" s="18" t="n">
        <v>6</v>
      </c>
      <c r="E2" s="18" t="n">
        <v>240</v>
      </c>
      <c r="F2" s="18" t="n">
        <v>0</v>
      </c>
      <c r="G2" s="18" t="n">
        <v>156</v>
      </c>
      <c r="H2" s="19" t="s">
        <v>89</v>
      </c>
    </row>
    <row r="3" customFormat="false" ht="15" hidden="false" customHeight="false" outlineLevel="0" collapsed="false">
      <c r="A3" s="18" t="s">
        <v>90</v>
      </c>
      <c r="B3" s="18" t="s">
        <v>90</v>
      </c>
      <c r="C3" s="18"/>
      <c r="D3" s="18" t="n">
        <v>10</v>
      </c>
      <c r="E3" s="18" t="n">
        <v>80</v>
      </c>
      <c r="F3" s="18" t="n">
        <v>24</v>
      </c>
      <c r="G3" s="18" t="n">
        <v>104</v>
      </c>
      <c r="H3" s="20" t="s">
        <v>91</v>
      </c>
    </row>
    <row r="4" customFormat="false" ht="15" hidden="false" customHeight="false" outlineLevel="0" collapsed="false">
      <c r="A4" s="18" t="s">
        <v>73</v>
      </c>
      <c r="B4" s="18" t="s">
        <v>73</v>
      </c>
      <c r="C4" s="18"/>
      <c r="D4" s="18" t="n">
        <v>3</v>
      </c>
      <c r="E4" s="18" t="n">
        <v>0</v>
      </c>
      <c r="F4" s="18" t="n">
        <v>0</v>
      </c>
      <c r="G4" s="18" t="n">
        <v>78</v>
      </c>
      <c r="H4" s="19" t="s">
        <v>89</v>
      </c>
    </row>
    <row r="5" customFormat="false" ht="15" hidden="false" customHeight="false" outlineLevel="0" collapsed="false">
      <c r="A5" s="18" t="s">
        <v>92</v>
      </c>
      <c r="B5" s="18" t="s">
        <v>92</v>
      </c>
      <c r="C5" s="18"/>
      <c r="D5" s="18" t="n">
        <v>30</v>
      </c>
      <c r="E5" s="18" t="n">
        <v>35</v>
      </c>
      <c r="F5" s="18" t="n">
        <v>0</v>
      </c>
      <c r="G5" s="18" t="n">
        <v>40</v>
      </c>
      <c r="H5" s="20" t="s">
        <v>93</v>
      </c>
    </row>
    <row r="6" customFormat="false" ht="15" hidden="false" customHeight="false" outlineLevel="0" collapsed="false">
      <c r="A6" s="18" t="s">
        <v>28</v>
      </c>
      <c r="B6" s="18" t="s">
        <v>28</v>
      </c>
      <c r="C6" s="18"/>
      <c r="D6" s="18" t="n">
        <v>40</v>
      </c>
      <c r="E6" s="18" t="n">
        <v>1200</v>
      </c>
      <c r="F6" s="18" t="n">
        <v>0</v>
      </c>
      <c r="G6" s="18" t="n">
        <v>520</v>
      </c>
      <c r="H6" s="19" t="s">
        <v>89</v>
      </c>
    </row>
    <row r="7" customFormat="false" ht="15" hidden="false" customHeight="false" outlineLevel="0" collapsed="false">
      <c r="A7" s="18" t="s">
        <v>94</v>
      </c>
      <c r="B7" s="18" t="s">
        <v>33</v>
      </c>
      <c r="C7" s="18" t="s">
        <v>95</v>
      </c>
      <c r="D7" s="18" t="n">
        <v>60</v>
      </c>
      <c r="E7" s="18" t="n">
        <v>5000</v>
      </c>
      <c r="F7" s="18" t="n">
        <v>0</v>
      </c>
      <c r="G7" s="18" t="n">
        <v>910</v>
      </c>
      <c r="H7" s="19" t="s">
        <v>89</v>
      </c>
    </row>
    <row r="8" customFormat="false" ht="15" hidden="false" customHeight="false" outlineLevel="0" collapsed="false">
      <c r="A8" s="18" t="s">
        <v>96</v>
      </c>
      <c r="B8" s="18" t="s">
        <v>96</v>
      </c>
      <c r="C8" s="18"/>
      <c r="D8" s="18" t="n">
        <v>25</v>
      </c>
      <c r="E8" s="18" t="n">
        <v>150</v>
      </c>
      <c r="F8" s="18" t="n">
        <v>0</v>
      </c>
      <c r="G8" s="18" t="n">
        <v>130</v>
      </c>
      <c r="H8" s="20" t="s">
        <v>97</v>
      </c>
    </row>
    <row r="9" customFormat="false" ht="15" hidden="false" customHeight="false" outlineLevel="0" collapsed="false">
      <c r="A9" s="18" t="s">
        <v>98</v>
      </c>
      <c r="B9" s="18" t="s">
        <v>37</v>
      </c>
      <c r="C9" s="18" t="s">
        <v>99</v>
      </c>
      <c r="D9" s="18" t="n">
        <v>4</v>
      </c>
      <c r="E9" s="18" t="n">
        <v>60</v>
      </c>
      <c r="F9" s="18" t="n">
        <v>0</v>
      </c>
      <c r="G9" s="18" t="n">
        <v>91</v>
      </c>
      <c r="H9" s="19" t="s">
        <v>89</v>
      </c>
    </row>
    <row r="10" customFormat="false" ht="15" hidden="false" customHeight="false" outlineLevel="0" collapsed="false">
      <c r="A10" s="18" t="s">
        <v>100</v>
      </c>
      <c r="B10" s="18" t="s">
        <v>100</v>
      </c>
      <c r="C10" s="18"/>
      <c r="D10" s="18" t="n">
        <v>2</v>
      </c>
      <c r="E10" s="18" t="n">
        <v>8</v>
      </c>
      <c r="F10" s="18" t="n">
        <v>0</v>
      </c>
      <c r="G10" s="18" t="n">
        <v>60</v>
      </c>
      <c r="H10" s="20" t="s">
        <v>101</v>
      </c>
    </row>
    <row r="11" customFormat="false" ht="15" hidden="false" customHeight="false" outlineLevel="0" collapsed="false">
      <c r="A11" s="18" t="s">
        <v>43</v>
      </c>
      <c r="B11" s="18" t="s">
        <v>43</v>
      </c>
      <c r="C11" s="18"/>
      <c r="D11" s="18" t="n">
        <v>12</v>
      </c>
      <c r="E11" s="18" t="n">
        <v>600</v>
      </c>
      <c r="F11" s="18" t="n">
        <v>0</v>
      </c>
      <c r="G11" s="18" t="n">
        <v>312</v>
      </c>
      <c r="H11" s="19" t="s">
        <v>89</v>
      </c>
    </row>
    <row r="12" customFormat="false" ht="15" hidden="false" customHeight="false" outlineLevel="0" collapsed="false">
      <c r="A12" s="18" t="s">
        <v>102</v>
      </c>
      <c r="B12" s="18" t="s">
        <v>78</v>
      </c>
      <c r="C12" s="18" t="s">
        <v>103</v>
      </c>
      <c r="D12" s="18" t="n">
        <v>0</v>
      </c>
      <c r="E12" s="18" t="n">
        <v>0</v>
      </c>
      <c r="F12" s="18" t="n">
        <v>0</v>
      </c>
      <c r="G12" s="18" t="n">
        <v>52</v>
      </c>
      <c r="H12" s="19" t="s">
        <v>89</v>
      </c>
    </row>
    <row r="13" customFormat="false" ht="15" hidden="false" customHeight="false" outlineLevel="0" collapsed="false">
      <c r="A13" s="18" t="s">
        <v>104</v>
      </c>
      <c r="B13" s="18" t="s">
        <v>49</v>
      </c>
      <c r="C13" s="18" t="s">
        <v>105</v>
      </c>
      <c r="D13" s="18" t="n">
        <v>5</v>
      </c>
      <c r="E13" s="18" t="n">
        <v>90</v>
      </c>
      <c r="F13" s="18" t="n">
        <v>0</v>
      </c>
      <c r="G13" s="18" t="n">
        <v>65</v>
      </c>
      <c r="H13" s="19" t="s">
        <v>89</v>
      </c>
    </row>
    <row r="14" customFormat="false" ht="15" hidden="false" customHeight="false" outlineLevel="0" collapsed="false">
      <c r="A14" s="18" t="s">
        <v>106</v>
      </c>
      <c r="B14" s="18" t="s">
        <v>106</v>
      </c>
      <c r="C14" s="18"/>
      <c r="D14" s="18" t="n">
        <v>2</v>
      </c>
      <c r="E14" s="18" t="n">
        <v>12</v>
      </c>
      <c r="F14" s="18" t="n">
        <v>0</v>
      </c>
      <c r="G14" s="18" t="n">
        <v>20</v>
      </c>
      <c r="H14" s="20"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21" t="s">
        <v>108</v>
      </c>
    </row>
    <row r="2" customFormat="false" ht="15" hidden="false" customHeight="false" outlineLevel="0" collapsed="false">
      <c r="A2" s="22" t="s">
        <v>109</v>
      </c>
    </row>
    <row r="3" customFormat="false" ht="15" hidden="false" customHeight="false" outlineLevel="0" collapsed="false">
      <c r="A3" s="22"/>
    </row>
    <row r="4" customFormat="false" ht="15" hidden="false" customHeight="false" outlineLevel="0" collapsed="false">
      <c r="A4" s="21" t="s">
        <v>110</v>
      </c>
    </row>
    <row r="5" customFormat="false" ht="15" hidden="false" customHeight="false" outlineLevel="0" collapsed="false">
      <c r="A5" s="22" t="s">
        <v>111</v>
      </c>
    </row>
    <row r="6" customFormat="false" ht="15" hidden="false" customHeight="false" outlineLevel="0" collapsed="false">
      <c r="A6" s="22" t="s">
        <v>112</v>
      </c>
    </row>
    <row r="7" customFormat="false" ht="15" hidden="false" customHeight="false" outlineLevel="0" collapsed="false">
      <c r="A7" s="22" t="s">
        <v>113</v>
      </c>
    </row>
    <row r="8" customFormat="false" ht="15" hidden="false" customHeight="false" outlineLevel="0" collapsed="false">
      <c r="A8" s="22" t="s">
        <v>114</v>
      </c>
    </row>
    <row r="9" customFormat="false" ht="15" hidden="false" customHeight="false" outlineLevel="0" collapsed="false">
      <c r="A9" s="22" t="s">
        <v>115</v>
      </c>
    </row>
    <row r="10" customFormat="false" ht="15" hidden="false" customHeight="false" outlineLevel="0" collapsed="false">
      <c r="A10" s="22"/>
    </row>
    <row r="11" customFormat="false" ht="15" hidden="false" customHeight="false" outlineLevel="0" collapsed="false">
      <c r="A11" s="21" t="s">
        <v>116</v>
      </c>
    </row>
    <row r="12" customFormat="false" ht="15" hidden="false" customHeight="false" outlineLevel="0" collapsed="false">
      <c r="A12" s="22" t="s">
        <v>117</v>
      </c>
    </row>
    <row r="13" customFormat="false" ht="15" hidden="false" customHeight="false" outlineLevel="0" collapsed="false">
      <c r="A13" s="22" t="s">
        <v>118</v>
      </c>
    </row>
    <row r="14" customFormat="false" ht="15" hidden="false" customHeight="false" outlineLevel="0" collapsed="false">
      <c r="A14" s="22"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2026-10-19T14:23:06Z</dcterms:created>
  <dc:creator>openpyxl</dc:creator>
  <dc:description/>
  <dc:language>en-US</dc:language>
  <cp:lastModifiedBy/>
  <dcterms:modified xsi:type="dcterms:W3CDTF">2026-10-19T14:23:06Z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